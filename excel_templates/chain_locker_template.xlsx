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4756d06bc87ccf/CSL project/excel_templates/"/>
    </mc:Choice>
  </mc:AlternateContent>
  <xr:revisionPtr revIDLastSave="469" documentId="13_ncr:1_{EFA6BB01-1C5C-41E4-842E-486218C200C9}" xr6:coauthVersionLast="47" xr6:coauthVersionMax="47" xr10:uidLastSave="{2D54CB10-2BFE-4286-8ADB-D7D48DCDBA54}"/>
  <bookViews>
    <workbookView xWindow="-108" yWindow="-108" windowWidth="23256" windowHeight="12456" activeTab="4" xr2:uid="{00000000-000D-0000-FFFF-FFFF00000000}"/>
  </bookViews>
  <sheets>
    <sheet name="IHC_Calc" sheetId="1" r:id="rId1"/>
    <sheet name="IHC_Data" sheetId="2" r:id="rId2"/>
    <sheet name="COSCO_Round" sheetId="3" r:id="rId3"/>
    <sheet name="COSCO_Rect" sheetId="4" r:id="rId4"/>
    <sheet name="AH_Leng" sheetId="5" r:id="rId5"/>
    <sheet name="AH_W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4" l="1"/>
  <c r="B16" i="4"/>
  <c r="B15" i="4"/>
  <c r="B13" i="6" a="1"/>
  <c r="B13" i="6" s="1"/>
  <c r="B14" i="6" s="1"/>
  <c r="B15" i="6" s="1"/>
  <c r="B19" i="6" s="1"/>
  <c r="B20" i="6"/>
  <c r="B18" i="6"/>
  <c r="B16" i="6"/>
  <c r="B17" i="6" s="1"/>
  <c r="B15" i="5"/>
  <c r="B16" i="5"/>
  <c r="B18" i="4"/>
  <c r="B18" i="5"/>
  <c r="B14" i="5"/>
  <c r="B12" i="5" a="1"/>
  <c r="B12" i="5" s="1"/>
  <c r="B13" i="5" s="1"/>
  <c r="B16" i="1"/>
  <c r="B13" i="4"/>
  <c r="B12" i="1"/>
  <c r="B21" i="3"/>
  <c r="B12" i="4"/>
  <c r="B17" i="4" s="1"/>
  <c r="B19" i="4" s="1"/>
  <c r="B15" i="1"/>
  <c r="B14" i="3"/>
  <c r="B18" i="3" s="1"/>
  <c r="B10" i="3"/>
  <c r="B11" i="3" s="1"/>
  <c r="B10" i="1"/>
  <c r="B18" i="1"/>
  <c r="B14" i="1"/>
  <c r="B13" i="1"/>
  <c r="B11" i="1"/>
  <c r="B21" i="6" l="1"/>
  <c r="B17" i="5"/>
  <c r="B19" i="5" s="1"/>
  <c r="B20" i="3"/>
  <c r="B15" i="3"/>
  <c r="B12" i="3"/>
  <c r="B13" i="3" s="1"/>
  <c r="B17" i="3"/>
  <c r="B20" i="1"/>
  <c r="B25" i="4" l="1"/>
  <c r="B22" i="6"/>
  <c r="B25" i="6" s="1"/>
  <c r="B26" i="6"/>
  <c r="B20" i="5"/>
  <c r="B23" i="5" s="1"/>
  <c r="B24" i="5"/>
  <c r="B19" i="3"/>
  <c r="B16" i="3" s="1"/>
  <c r="B22" i="3" s="1"/>
  <c r="B19" i="1"/>
  <c r="B26" i="1" s="1"/>
  <c r="B25" i="1"/>
  <c r="B21" i="1"/>
  <c r="B24" i="1" s="1"/>
  <c r="B26" i="4" l="1"/>
  <c r="B27" i="3"/>
  <c r="B23" i="3"/>
  <c r="B26" i="3" s="1"/>
  <c r="B20" i="4"/>
  <c r="B2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<sst xmlns="http://schemas.openxmlformats.org/spreadsheetml/2006/main" count="140" uniqueCount="77">
  <si>
    <t>Total Chain Length (L) [m]</t>
  </si>
  <si>
    <t>Diameter [mm]</t>
  </si>
  <si>
    <t>Volume required per 100m [m³]</t>
  </si>
  <si>
    <t>Calculation Method</t>
  </si>
  <si>
    <t>Chain Diameter (d) [mm]</t>
  </si>
  <si>
    <t>Locker Diameter (D) [m]</t>
  </si>
  <si>
    <t>30 degree taper included (Yes/No)</t>
  </si>
  <si>
    <t>=== USER INPUTS ===</t>
  </si>
  <si>
    <t>=== CALCULATIONS ===</t>
  </si>
  <si>
    <t>Mudbox included (Yes/No)</t>
  </si>
  <si>
    <t>D/H ratio (IHC standard is &lt; 0.8)</t>
  </si>
  <si>
    <t>=== RESULTS===</t>
  </si>
  <si>
    <t>D/H ratio is acceptable ?</t>
  </si>
  <si>
    <t xml:space="preserve"> </t>
  </si>
  <si>
    <t>===USER INPUTS===</t>
  </si>
  <si>
    <t>Required Locker Height [m]</t>
  </si>
  <si>
    <t>Chain diameter/Locker diameter ratio</t>
  </si>
  <si>
    <t>Common chain link length (l) [m]</t>
  </si>
  <si>
    <r>
      <t>Clearance height 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[m] (COSCO standard is &gt; 2.5L)</t>
    </r>
  </si>
  <si>
    <t>Locker Width (B) [m]</t>
  </si>
  <si>
    <t>Height of cylindrical section (h) [m]</t>
  </si>
  <si>
    <r>
      <t>Cross Sectional area of locker (A)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</si>
  <si>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===CALCULATIONS===</t>
  </si>
  <si>
    <r>
      <t>30 Deg Tapering Volume (V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</si>
  <si>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30 Deg Tapering Portion Height (h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</si>
  <si>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Mudbox Height (h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) [m] (standard is ≈0.5m - 0.6m)</t>
    </r>
  </si>
  <si>
    <t>Total height (H) [m]</t>
  </si>
  <si>
    <r>
      <t>Length of tapering chain (l</t>
    </r>
    <r>
      <rPr>
        <vertAlign val="sub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) [m]</t>
    </r>
  </si>
  <si>
    <t>No</t>
  </si>
  <si>
    <r>
      <t>Length of cylindrically stored chain (l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 [m]</t>
    </r>
  </si>
  <si>
    <r>
      <t>Effective vol of chain locker 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</si>
  <si>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Total Volume (V)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] </t>
    </r>
  </si>
  <si>
    <t>===RESULTS===</t>
  </si>
  <si>
    <t>Required Locker Volume [m³]</t>
  </si>
  <si>
    <t>B/H ratio is acceptable ?</t>
  </si>
  <si>
    <r>
      <t>Looked-up Base Vol per 100m (if d &lt;= 95mm)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</si>
  <si>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Polynomial Calculated Vol per 100m (if d &gt; 95mm)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</si>
  <si>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Chain Volume 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</si>
  <si>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Cross Sectional Area (A)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</si>
  <si>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30 Deg Tapering Volume (V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</si>
  <si>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30 Deg Tapering Portion Height (h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 [m]</t>
    </r>
  </si>
  <si>
    <t>Cylindrical Portion Height (h) [m]</t>
  </si>
  <si>
    <r>
      <t>Clearance Height (h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[m] (IHC standard is ≈1.2m - 1.8m)</t>
    </r>
  </si>
  <si>
    <t>Total Locker Height (H) [m]</t>
  </si>
  <si>
    <r>
      <t>Total Locker Volume (V)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</si>
  <si>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Required Locker Volume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</si>
  <si>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Anchor Handling Standard Chain Diameters Lookup</t>
  </si>
  <si>
    <t>Chain diameter [mm]</t>
  </si>
  <si>
    <t>Locker Vol per 100m [m2]</t>
  </si>
  <si>
    <r>
      <t>Locker Vol per 100m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</si>
  <si>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Locker Shape (Circle/Rectangle)</t>
  </si>
  <si>
    <t>Circle</t>
  </si>
  <si>
    <t>Locker Length (L) [m]</t>
  </si>
  <si>
    <t>Locker Breadth (B) [m]</t>
  </si>
  <si>
    <r>
      <t>Cross Sectional Area of Locker (A) 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</si>
  <si>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30 Deg Tapering Height (h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 [m]</t>
    </r>
  </si>
  <si>
    <t>Cylinderical/Cuboidal Height (h) [m]</t>
  </si>
  <si>
    <t>Total Height (H) [m]</t>
  </si>
  <si>
    <t>===Results===</t>
  </si>
  <si>
    <t>Required Locker Volume [m3]</t>
  </si>
  <si>
    <r>
      <t>Total Volume (V)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</si>
  <si>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Required Effective Volume 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[m³]</t>
    </r>
  </si>
  <si>
    <t>Cross Sectional Area of Locker (A) [m²]</t>
  </si>
  <si>
    <r>
      <t>Total Chain Length (L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 [m]</t>
    </r>
  </si>
  <si>
    <r>
      <t>Clearance Height (h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 [m] (COSCO standard is ≈1.2m - 1.8m)</t>
    </r>
  </si>
  <si>
    <t>Total Locker Volume (V) [m³]</t>
  </si>
  <si>
    <t>Weight per 100m [kg]</t>
  </si>
  <si>
    <r>
      <t>Total Weight of Chains (M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[kg]</t>
    </r>
  </si>
  <si>
    <t>Packing Nature (tight - 0.5, loose - 0.7)</t>
  </si>
  <si>
    <r>
      <t>Effective Vol of Chains 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</si>
  <si>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Effective Vol of Chain (V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</si>
  <si>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COSCO Coefficient (k1) (tight - 8.5 * 10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>, loose - 10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)</t>
    </r>
  </si>
  <si>
    <r>
      <t>Height of tapering section (h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[m] (COSCO standard is≈(0.5 - 0.6)D )</t>
    </r>
  </si>
  <si>
    <r>
      <t>30 deg Tapering Volume (V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 [m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</si>
  <si>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30 deg Tapering Height (h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 [m]</t>
    </r>
  </si>
  <si>
    <t>S/H Ratio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</si>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</sst>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0" xfId="0" quotePrefix="1"/>
    <xf numFmtId="0" fontId="1" fillId="0" borderId="0" xfId="0" quotePrefix="1" applyFont="1"/>
    <xf numFmtId="0" fontId="0" fillId="0" borderId="0" xfId="0" applyAlignment="1">
      <alignment horizontal="right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8" zoomScale="106" zoomScaleNormal="124" workbookViewId="0">
      <selection activeCell="B7" sqref="B7"/>
    </sheetView>
  </sheetViews>
  <sheetFormatPr defaultRowHeight="14.4"/>
  <cols>
    <col min="1" max="1" width="76.33203125" customWidth="1"/>
    <col min="2" max="2" width="60.44140625" customWidth="1"/>
  </cols>
  <sheetData>
    <row r="1" spans="1:2">
      <c r="A1" s="3" t="s">
        <v>7</v>
      </c>
    </row>
    <row r="2" spans="1:2">
      <c r="A2" t="s">
        <v>3</v>
      </c>
    </row>
    <row r="3" spans="1:2">
      <c r="A3" t="s">
        <v>4</v>
      </c>
      <c r="B3">
        <v>78</v>
      </c>
    </row>
    <row r="4" spans="1:2">
      <c r="A4" t="s">
        <v>0</v>
      </c>
      <c r="B4">
        <v>234</v>
      </c>
    </row>
    <row r="5" spans="1:2">
      <c r="A5" t="s">
        <v>5</v>
      </c>
      <c r="B5">
        <v>2.34</v>
      </c>
    </row>
    <row r="6" spans="1:2">
      <c r="A6" t="s">
        <v>6</v>
      </c>
      <c r="B6" t="s">
        <v>28</v>
      </c>
    </row>
    <row r="7" spans="1:2">
      <c r="A7" t="s">
        <v>9</v>
      </c>
      <c r="B7" t="s">
        <v>28</v>
      </c>
    </row>
    <row r="9" spans="1:2">
      <c r="A9" s="4" t="s">
        <v>8</v>
      </c>
    </row>
    <row r="10" spans="1:2" ht="16.2">
      <c r="A10" t="s">
        <v>35</v>
      </c>
      <c r="B10" s="5">
        <f>IF(B3&lt;95,VLOOKUP(B3,IHC_Data!A:B,2,FALSE),0)</f>
        <v>5.899</v>
      </c>
    </row>
    <row r="11" spans="1:2" ht="16.2">
      <c r="A11" t="s">
        <v>36</v>
      </c>
      <c r="B11" s="5">
        <f>IF(B3&gt;=95, 0.000962962*B3^2.001744014, 0)</f>
        <v>0</v>
      </c>
    </row>
    <row r="12" spans="1:2" ht="16.8">
      <c r="A12" t="s">
        <v>37</v>
      </c>
      <c r="B12" s="5">
        <f>IF(B10=0, B11 * B4/100, B10*B4/100)</f>
        <v>13.803660000000001</v>
      </c>
    </row>
    <row r="13" spans="1:2" ht="16.2">
      <c r="A13" t="s">
        <v>38</v>
      </c>
      <c r="B13" s="5">
        <f>(B5/2)^2 * PI()</f>
        <v>4.3005261834990671</v>
      </c>
    </row>
    <row r="14" spans="1:2" ht="16.8">
      <c r="A14" t="s">
        <v>39</v>
      </c>
      <c r="B14" s="5">
        <f>IF(B6 = "Yes", 1/3 * B13 *B15, 0)</f>
        <v>0</v>
      </c>
    </row>
    <row r="15" spans="1:2" ht="15.6">
      <c r="A15" t="s">
        <v>40</v>
      </c>
      <c r="B15" s="5">
        <f>IF(B6 = "Yes", B5/2*TAN(RADIANS(30)), 0)</f>
        <v>0</v>
      </c>
    </row>
    <row r="16" spans="1:2">
      <c r="A16" t="s">
        <v>41</v>
      </c>
      <c r="B16" s="5">
        <f xml:space="preserve"> (B12 - B14)/B13</f>
        <v>3.2097607155524472</v>
      </c>
    </row>
    <row r="17" spans="1:2" ht="15.6">
      <c r="A17" s="3" t="s">
        <v>42</v>
      </c>
      <c r="B17" s="5">
        <v>1.5</v>
      </c>
    </row>
    <row r="18" spans="1:2" ht="15.6">
      <c r="A18" t="s">
        <v>25</v>
      </c>
      <c r="B18" s="5">
        <f xml:space="preserve"> IF(B7 = "Yes", 0.6, 0)</f>
        <v>0</v>
      </c>
    </row>
    <row r="19" spans="1:2">
      <c r="A19" t="s">
        <v>10</v>
      </c>
      <c r="B19" s="5">
        <f xml:space="preserve"> B5/ (B15 + B16 + B17)</f>
        <v>0.49684052785801069</v>
      </c>
    </row>
    <row r="20" spans="1:2">
      <c r="A20" t="s">
        <v>43</v>
      </c>
      <c r="B20" s="5">
        <f xml:space="preserve"> B15 + B16 + B17 + B18</f>
        <v>4.7097607155524468</v>
      </c>
    </row>
    <row r="21" spans="1:2" ht="16.2">
      <c r="A21" t="s">
        <v>44</v>
      </c>
      <c r="B21" s="5">
        <f xml:space="preserve"> PI() * B5 * B20</f>
        <v>34.62299021410017</v>
      </c>
    </row>
    <row r="22" spans="1:2">
      <c r="B22" s="5"/>
    </row>
    <row r="23" spans="1:2">
      <c r="A23" s="3" t="s">
        <v>11</v>
      </c>
      <c r="B23" s="5"/>
    </row>
    <row r="24" spans="1:2" ht="16.2">
      <c r="A24" t="s">
        <v>45</v>
      </c>
      <c r="B24" s="5">
        <f>B21</f>
        <v>34.62299021410017</v>
      </c>
    </row>
    <row r="25" spans="1:2">
      <c r="A25" t="s">
        <v>15</v>
      </c>
      <c r="B25" s="5">
        <f>B20</f>
        <v>4.7097607155524468</v>
      </c>
    </row>
    <row r="26" spans="1:2">
      <c r="A26" t="s">
        <v>12</v>
      </c>
      <c r="B26" s="5" t="str">
        <f>IF(B19 &lt; 0.8, "Acceptable", "FAIL : Locker width exceeds criterion. Risk of anchor chain cluster spills.")</f>
        <v>Acceptable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7565-E77D-472A-B70E-02CDFEC26BA5}">
  <dimension ref="A1:B82"/>
  <sheetViews>
    <sheetView topLeftCell="A3" workbookViewId="0">
      <selection activeCell="A82" sqref="A82"/>
    </sheetView>
  </sheetViews>
  <sheetFormatPr defaultRowHeight="14.4"/>
  <cols>
    <col min="1" max="1" width="26.6640625" customWidth="1"/>
    <col min="2" max="2" width="27.33203125" customWidth="1"/>
  </cols>
  <sheetData>
    <row r="1" spans="1:2" ht="15" thickBot="1">
      <c r="A1" t="s">
        <v>1</v>
      </c>
      <c r="B1" t="s">
        <v>2</v>
      </c>
    </row>
    <row r="2" spans="1:2" ht="15" thickBot="1">
      <c r="A2" s="1">
        <v>15</v>
      </c>
      <c r="B2" s="1">
        <v>0.216</v>
      </c>
    </row>
    <row r="3" spans="1:2" ht="15" thickBot="1">
      <c r="A3" s="1">
        <v>16</v>
      </c>
      <c r="B3" s="1">
        <v>0.247</v>
      </c>
    </row>
    <row r="4" spans="1:2" ht="15" thickBot="1">
      <c r="A4" s="1">
        <v>17</v>
      </c>
      <c r="B4" s="1">
        <v>0.27900000000000003</v>
      </c>
    </row>
    <row r="5" spans="1:2" ht="15" thickBot="1">
      <c r="A5" s="1">
        <v>18</v>
      </c>
      <c r="B5" s="1">
        <v>0.315</v>
      </c>
    </row>
    <row r="6" spans="1:2" ht="15" thickBot="1">
      <c r="A6" s="1">
        <v>19</v>
      </c>
      <c r="B6" s="1">
        <v>0.35099999999999998</v>
      </c>
    </row>
    <row r="7" spans="1:2" ht="15" thickBot="1">
      <c r="A7" s="1">
        <v>20</v>
      </c>
      <c r="B7" s="1">
        <v>0.38700000000000001</v>
      </c>
    </row>
    <row r="8" spans="1:2" ht="15" thickBot="1">
      <c r="A8" s="1">
        <v>21</v>
      </c>
      <c r="B8" s="1">
        <v>0.42699999999999999</v>
      </c>
    </row>
    <row r="9" spans="1:2" ht="15" thickBot="1">
      <c r="A9" s="1">
        <v>22</v>
      </c>
      <c r="B9" s="1">
        <v>0.46800000000000003</v>
      </c>
    </row>
    <row r="10" spans="1:2" ht="15" thickBot="1">
      <c r="A10" s="1">
        <v>23</v>
      </c>
      <c r="B10" s="1">
        <v>0.51300000000000001</v>
      </c>
    </row>
    <row r="11" spans="1:2" ht="15" thickBot="1">
      <c r="A11" s="1">
        <v>24</v>
      </c>
      <c r="B11" s="1">
        <v>0.55800000000000005</v>
      </c>
    </row>
    <row r="12" spans="1:2" ht="15" thickBot="1">
      <c r="A12" s="1">
        <v>25</v>
      </c>
      <c r="B12" s="1">
        <v>0.60699999999999998</v>
      </c>
    </row>
    <row r="13" spans="1:2" ht="15" thickBot="1">
      <c r="A13" s="1">
        <v>26</v>
      </c>
      <c r="B13" s="1">
        <v>0.65700000000000003</v>
      </c>
    </row>
    <row r="14" spans="1:2" ht="15" thickBot="1">
      <c r="A14" s="1">
        <v>27</v>
      </c>
      <c r="B14" s="1">
        <v>0.70599999999999996</v>
      </c>
    </row>
    <row r="15" spans="1:2" ht="15" thickBot="1">
      <c r="A15" s="1">
        <v>28</v>
      </c>
      <c r="B15" s="1">
        <v>0.76</v>
      </c>
    </row>
    <row r="16" spans="1:2" ht="15" thickBot="1">
      <c r="A16" s="1">
        <v>29</v>
      </c>
      <c r="B16" s="1">
        <v>0.81399999999999995</v>
      </c>
    </row>
    <row r="17" spans="1:2" ht="15" thickBot="1">
      <c r="A17" s="1">
        <v>30</v>
      </c>
      <c r="B17" s="1">
        <v>0.873</v>
      </c>
    </row>
    <row r="18" spans="1:2" ht="15" thickBot="1">
      <c r="A18" s="1">
        <v>31</v>
      </c>
      <c r="B18" s="1">
        <v>0.93100000000000005</v>
      </c>
    </row>
    <row r="19" spans="1:2" ht="15" thickBot="1">
      <c r="A19" s="1">
        <v>32</v>
      </c>
      <c r="B19" s="1">
        <v>0.99399999999999999</v>
      </c>
    </row>
    <row r="20" spans="1:2" ht="15" thickBot="1">
      <c r="A20" s="1">
        <v>33</v>
      </c>
      <c r="B20" s="1">
        <v>1.0569999999999999</v>
      </c>
    </row>
    <row r="21" spans="1:2" ht="15" thickBot="1">
      <c r="A21" s="1">
        <v>34</v>
      </c>
      <c r="B21" s="1">
        <v>1.1200000000000001</v>
      </c>
    </row>
    <row r="22" spans="1:2" ht="15" thickBot="1">
      <c r="A22" s="1">
        <v>35</v>
      </c>
      <c r="B22" s="1">
        <v>1.1879999999999999</v>
      </c>
    </row>
    <row r="23" spans="1:2" ht="15" thickBot="1">
      <c r="A23" s="1">
        <v>36</v>
      </c>
      <c r="B23" s="1">
        <v>1.2549999999999999</v>
      </c>
    </row>
    <row r="24" spans="1:2" ht="15" thickBot="1">
      <c r="A24" s="1">
        <v>37</v>
      </c>
      <c r="B24" s="1">
        <v>1.327</v>
      </c>
    </row>
    <row r="25" spans="1:2" ht="15" thickBot="1">
      <c r="A25" s="1">
        <v>38</v>
      </c>
      <c r="B25" s="1">
        <v>1.399</v>
      </c>
    </row>
    <row r="26" spans="1:2" ht="15" thickBot="1">
      <c r="A26" s="1">
        <v>39</v>
      </c>
      <c r="B26" s="1">
        <v>1.476</v>
      </c>
    </row>
    <row r="27" spans="1:2" ht="15" thickBot="1">
      <c r="A27" s="1">
        <v>40</v>
      </c>
      <c r="B27" s="1">
        <v>1.552</v>
      </c>
    </row>
    <row r="28" spans="1:2" ht="15" thickBot="1">
      <c r="A28" s="1">
        <v>41</v>
      </c>
      <c r="B28" s="1">
        <v>1.629</v>
      </c>
    </row>
    <row r="29" spans="1:2" ht="15" thickBot="1">
      <c r="A29" s="1">
        <v>42</v>
      </c>
      <c r="B29" s="1">
        <v>1.71</v>
      </c>
    </row>
    <row r="30" spans="1:2" ht="15" thickBot="1">
      <c r="A30" s="1">
        <v>43</v>
      </c>
      <c r="B30" s="1">
        <v>1.746</v>
      </c>
    </row>
    <row r="31" spans="1:2" ht="15" thickBot="1">
      <c r="A31" s="1">
        <v>44</v>
      </c>
      <c r="B31" s="1">
        <v>1.8759999999999999</v>
      </c>
    </row>
    <row r="32" spans="1:2" ht="15" thickBot="1">
      <c r="A32" s="1">
        <v>45</v>
      </c>
      <c r="B32" s="1">
        <v>1.962</v>
      </c>
    </row>
    <row r="33" spans="1:2" ht="15" thickBot="1">
      <c r="A33" s="1">
        <v>46</v>
      </c>
      <c r="B33" s="1">
        <v>2.052</v>
      </c>
    </row>
    <row r="34" spans="1:2" ht="15" thickBot="1">
      <c r="A34" s="1">
        <v>47</v>
      </c>
      <c r="B34" s="1">
        <v>2.1419999999999999</v>
      </c>
    </row>
    <row r="35" spans="1:2" ht="15" thickBot="1">
      <c r="A35" s="1">
        <v>48</v>
      </c>
      <c r="B35" s="1">
        <v>2.2320000000000002</v>
      </c>
    </row>
    <row r="36" spans="1:2" ht="15" thickBot="1">
      <c r="A36" s="1">
        <v>49</v>
      </c>
      <c r="B36" s="1">
        <v>2.3260000000000001</v>
      </c>
    </row>
    <row r="37" spans="1:2" ht="15" thickBot="1">
      <c r="A37" s="1">
        <v>50</v>
      </c>
      <c r="B37" s="1">
        <v>2.4249999999999998</v>
      </c>
    </row>
    <row r="38" spans="1:2" ht="15" thickBot="1">
      <c r="A38" s="1">
        <v>51</v>
      </c>
      <c r="B38" s="1">
        <v>2.524</v>
      </c>
    </row>
    <row r="39" spans="1:2" ht="15" thickBot="1">
      <c r="A39" s="1">
        <v>52</v>
      </c>
      <c r="B39" s="1">
        <v>2.6230000000000002</v>
      </c>
    </row>
    <row r="40" spans="1:2" ht="15" thickBot="1">
      <c r="A40" s="1">
        <v>53</v>
      </c>
      <c r="B40" s="1">
        <v>2.722</v>
      </c>
    </row>
    <row r="41" spans="1:2" ht="15" thickBot="1">
      <c r="A41" s="1">
        <v>54</v>
      </c>
      <c r="B41" s="1">
        <v>2.8260000000000001</v>
      </c>
    </row>
    <row r="42" spans="1:2" ht="15" thickBot="1">
      <c r="A42" s="1">
        <v>55</v>
      </c>
      <c r="B42" s="1">
        <v>2.9980000000000002</v>
      </c>
    </row>
    <row r="43" spans="1:2" ht="15" thickBot="1">
      <c r="A43" s="1">
        <v>56</v>
      </c>
      <c r="B43" s="1">
        <v>3.0419999999999998</v>
      </c>
    </row>
    <row r="44" spans="1:2" ht="15" thickBot="1">
      <c r="A44" s="1">
        <v>57</v>
      </c>
      <c r="B44" s="1">
        <v>3.15</v>
      </c>
    </row>
    <row r="45" spans="1:2" ht="15" thickBot="1">
      <c r="A45" s="1">
        <v>58</v>
      </c>
      <c r="B45" s="1">
        <v>3.262</v>
      </c>
    </row>
    <row r="46" spans="1:2" ht="15" thickBot="1">
      <c r="A46" s="1">
        <v>59</v>
      </c>
      <c r="B46" s="1">
        <v>3.375</v>
      </c>
    </row>
    <row r="47" spans="1:2" ht="15" thickBot="1">
      <c r="A47" s="1">
        <v>60</v>
      </c>
      <c r="B47" s="1">
        <v>3.492</v>
      </c>
    </row>
    <row r="48" spans="1:2" ht="15" thickBot="1">
      <c r="A48" s="1">
        <v>61</v>
      </c>
      <c r="B48" s="1">
        <v>3.609</v>
      </c>
    </row>
    <row r="49" spans="1:2" ht="15" thickBot="1">
      <c r="A49" s="1">
        <v>62</v>
      </c>
      <c r="B49" s="1">
        <v>3.726</v>
      </c>
    </row>
    <row r="50" spans="1:2" ht="15" thickBot="1">
      <c r="A50" s="1">
        <v>63</v>
      </c>
      <c r="B50" s="1">
        <v>3.847</v>
      </c>
    </row>
    <row r="51" spans="1:2">
      <c r="A51" s="2">
        <v>64</v>
      </c>
      <c r="B51" s="2">
        <v>3.9729999999999999</v>
      </c>
    </row>
    <row r="52" spans="1:2">
      <c r="A52" s="2">
        <v>65</v>
      </c>
      <c r="B52" s="2">
        <v>4.0990000000000002</v>
      </c>
    </row>
    <row r="53" spans="1:2">
      <c r="A53" s="2">
        <v>66</v>
      </c>
      <c r="B53" s="2">
        <v>4.2249999999999996</v>
      </c>
    </row>
    <row r="54" spans="1:2">
      <c r="A54" s="2">
        <v>67</v>
      </c>
      <c r="B54" s="2">
        <v>4.351</v>
      </c>
    </row>
    <row r="55" spans="1:2">
      <c r="A55" s="2">
        <v>68</v>
      </c>
      <c r="B55" s="2">
        <v>4.4820000000000002</v>
      </c>
    </row>
    <row r="56" spans="1:2">
      <c r="A56" s="2">
        <v>69</v>
      </c>
      <c r="B56" s="2">
        <v>4.617</v>
      </c>
    </row>
    <row r="57" spans="1:2">
      <c r="A57" s="2">
        <v>70</v>
      </c>
      <c r="B57" s="2">
        <v>4.8419999999999996</v>
      </c>
    </row>
    <row r="58" spans="1:2">
      <c r="A58" s="2">
        <v>71</v>
      </c>
      <c r="B58" s="2">
        <v>4.8869999999999996</v>
      </c>
    </row>
    <row r="59" spans="1:2">
      <c r="A59" s="2">
        <v>72</v>
      </c>
      <c r="B59" s="2">
        <v>5.0259999999999998</v>
      </c>
    </row>
    <row r="60" spans="1:2">
      <c r="A60" s="2">
        <v>73</v>
      </c>
      <c r="B60" s="2">
        <v>5.1660000000000004</v>
      </c>
    </row>
    <row r="61" spans="1:2">
      <c r="A61" s="2">
        <v>74</v>
      </c>
      <c r="B61" s="2">
        <v>5.31</v>
      </c>
    </row>
    <row r="62" spans="1:2">
      <c r="A62" s="2">
        <v>75</v>
      </c>
      <c r="B62" s="2">
        <v>5.4539999999999997</v>
      </c>
    </row>
    <row r="63" spans="1:2">
      <c r="A63" s="2">
        <v>76</v>
      </c>
      <c r="B63" s="2">
        <v>5.6020000000000003</v>
      </c>
    </row>
    <row r="64" spans="1:2">
      <c r="A64" s="2">
        <v>77</v>
      </c>
      <c r="B64" s="2">
        <v>5.7510000000000003</v>
      </c>
    </row>
    <row r="65" spans="1:2">
      <c r="A65" s="2">
        <v>78</v>
      </c>
      <c r="B65" s="2">
        <v>5.899</v>
      </c>
    </row>
    <row r="66" spans="1:2">
      <c r="A66" s="2">
        <v>79</v>
      </c>
      <c r="B66" s="2">
        <v>6.0519999999999996</v>
      </c>
    </row>
    <row r="67" spans="1:2">
      <c r="A67" s="2">
        <v>80</v>
      </c>
      <c r="B67" s="2">
        <v>6.2050000000000001</v>
      </c>
    </row>
    <row r="68" spans="1:2">
      <c r="A68" s="2">
        <v>81</v>
      </c>
      <c r="B68" s="2">
        <v>6.3630000000000004</v>
      </c>
    </row>
    <row r="69" spans="1:2">
      <c r="A69" s="2">
        <v>82</v>
      </c>
      <c r="B69" s="2">
        <v>6.52</v>
      </c>
    </row>
    <row r="70" spans="1:2">
      <c r="A70" s="2">
        <v>83</v>
      </c>
      <c r="B70" s="2">
        <v>6.6779999999999999</v>
      </c>
    </row>
    <row r="71" spans="1:2">
      <c r="A71" s="2">
        <v>84</v>
      </c>
      <c r="B71" s="2">
        <v>6.84</v>
      </c>
    </row>
    <row r="72" spans="1:2">
      <c r="A72" s="2">
        <v>85</v>
      </c>
      <c r="B72" s="2">
        <v>7.0060000000000002</v>
      </c>
    </row>
    <row r="73" spans="1:2">
      <c r="A73" s="2">
        <v>86</v>
      </c>
      <c r="B73" s="2">
        <v>7.173</v>
      </c>
    </row>
    <row r="74" spans="1:2">
      <c r="A74" s="2">
        <v>87</v>
      </c>
      <c r="B74" s="2">
        <v>7.3390000000000004</v>
      </c>
    </row>
    <row r="75" spans="1:2">
      <c r="A75" s="2">
        <v>88</v>
      </c>
      <c r="B75" s="2">
        <v>7.51</v>
      </c>
    </row>
    <row r="76" spans="1:2">
      <c r="A76" s="2">
        <v>89</v>
      </c>
      <c r="B76" s="2">
        <v>7.681</v>
      </c>
    </row>
    <row r="77" spans="1:2">
      <c r="A77" s="2">
        <v>90</v>
      </c>
      <c r="B77" s="2">
        <v>7.8520000000000003</v>
      </c>
    </row>
    <row r="78" spans="1:2">
      <c r="A78" s="2">
        <v>91</v>
      </c>
      <c r="B78" s="2">
        <v>8.0280000000000005</v>
      </c>
    </row>
    <row r="79" spans="1:2">
      <c r="A79" s="2">
        <v>92</v>
      </c>
      <c r="B79" s="2">
        <v>8.2080000000000002</v>
      </c>
    </row>
    <row r="80" spans="1:2">
      <c r="A80" s="2">
        <v>93</v>
      </c>
      <c r="B80" s="2">
        <v>8.3879999999999999</v>
      </c>
    </row>
    <row r="81" spans="1:2">
      <c r="A81" s="2">
        <v>94</v>
      </c>
      <c r="B81" s="2">
        <v>8.5679999999999996</v>
      </c>
    </row>
    <row r="82" spans="1:2">
      <c r="A82" s="2">
        <v>95</v>
      </c>
      <c r="B82" s="2">
        <v>8.7520000000000007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6A0C-5507-477B-B215-276D2BF4A44D}">
  <dimension ref="A1:D27"/>
  <sheetViews>
    <sheetView topLeftCell="A10" workbookViewId="0">
      <selection activeCell="A17" sqref="A17"/>
    </sheetView>
  </sheetViews>
  <sheetFormatPr defaultRowHeight="14.4"/>
  <cols>
    <col min="1" max="1" width="58.5546875" customWidth="1"/>
    <col min="2" max="2" width="29.21875" customWidth="1"/>
  </cols>
  <sheetData>
    <row r="1" spans="1:4">
      <c r="A1" s="3" t="s">
        <v>14</v>
      </c>
    </row>
    <row r="2" spans="1:4">
      <c r="A2" t="s">
        <v>3</v>
      </c>
    </row>
    <row r="3" spans="1:4">
      <c r="A3" t="s">
        <v>4</v>
      </c>
      <c r="B3">
        <v>78</v>
      </c>
    </row>
    <row r="4" spans="1:4">
      <c r="A4" t="s">
        <v>16</v>
      </c>
      <c r="B4">
        <v>30</v>
      </c>
    </row>
    <row r="5" spans="1:4">
      <c r="A5" t="s">
        <v>0</v>
      </c>
      <c r="B5">
        <v>234</v>
      </c>
    </row>
    <row r="6" spans="1:4">
      <c r="A6" t="s">
        <v>6</v>
      </c>
      <c r="B6" t="s">
        <v>28</v>
      </c>
    </row>
    <row r="7" spans="1:4">
      <c r="A7" t="s">
        <v>9</v>
      </c>
      <c r="B7" t="s">
        <v>76</v>
      </c>
    </row>
    <row r="9" spans="1:4">
      <c r="A9" s="4" t="s">
        <v>8</v>
      </c>
      <c r="D9" t="s">
        <v>13</v>
      </c>
    </row>
    <row r="10" spans="1:4">
      <c r="A10" t="s">
        <v>5</v>
      </c>
      <c r="B10">
        <f>B3*B4/1000</f>
        <v>2.34</v>
      </c>
    </row>
    <row r="11" spans="1:4" ht="15.6">
      <c r="A11" t="s">
        <v>27</v>
      </c>
      <c r="B11">
        <f>1.6 * 10^4 * B10^3 / B3^2</f>
        <v>33.695999999999998</v>
      </c>
    </row>
    <row r="12" spans="1:4" ht="15.6">
      <c r="A12" t="s">
        <v>29</v>
      </c>
      <c r="B12">
        <f xml:space="preserve"> B5 - B10</f>
        <v>231.66</v>
      </c>
    </row>
    <row r="13" spans="1:4" ht="16.8">
      <c r="A13" t="s">
        <v>30</v>
      </c>
      <c r="B13">
        <f>0.0009 * B3^2 * (B12 - B11)/100</f>
        <v>10.839716784</v>
      </c>
    </row>
    <row r="14" spans="1:4">
      <c r="A14" t="s">
        <v>17</v>
      </c>
      <c r="B14">
        <f xml:space="preserve"> 6 * B3/1000</f>
        <v>0.46800000000000003</v>
      </c>
    </row>
    <row r="15" spans="1:4" ht="16.2">
      <c r="A15" t="s">
        <v>21</v>
      </c>
      <c r="B15">
        <f xml:space="preserve"> PI() * (B10/2)^2</f>
        <v>4.3005261834990671</v>
      </c>
    </row>
    <row r="16" spans="1:4">
      <c r="A16" t="s">
        <v>20</v>
      </c>
      <c r="B16">
        <f xml:space="preserve"> (B13 - B19)/B15</f>
        <v>2.5205559323395179</v>
      </c>
    </row>
    <row r="17" spans="1:2" ht="15.6">
      <c r="A17" t="s">
        <v>72</v>
      </c>
      <c r="B17">
        <f xml:space="preserve"> 0.6 * B10</f>
        <v>1.4039999999999999</v>
      </c>
    </row>
    <row r="18" spans="1:2" ht="15.6">
      <c r="A18" t="s">
        <v>18</v>
      </c>
      <c r="B18">
        <f xml:space="preserve"> 2.5 * B14</f>
        <v>1.1700000000000002</v>
      </c>
    </row>
    <row r="19" spans="1:2" ht="15.6">
      <c r="A19" t="s">
        <v>23</v>
      </c>
      <c r="B19" s="5">
        <f>IF(B6 = "Yes", 1/3*B20*B15, 0)</f>
        <v>0</v>
      </c>
    </row>
    <row r="20" spans="1:2" ht="15.6">
      <c r="A20" t="s">
        <v>24</v>
      </c>
      <c r="B20" s="5">
        <f>IF(B6 = "Yes", B10/2*TAN(RADIANS(30)), 0)</f>
        <v>0</v>
      </c>
    </row>
    <row r="21" spans="1:2" ht="15.6">
      <c r="A21" t="s">
        <v>25</v>
      </c>
      <c r="B21" s="5">
        <f xml:space="preserve"> IF(B7 = "Yes", 0.6, 0)</f>
        <v>0</v>
      </c>
    </row>
    <row r="22" spans="1:2">
      <c r="A22" t="s">
        <v>26</v>
      </c>
      <c r="B22">
        <f xml:space="preserve"> B16 +B17+B18+B20+B21</f>
        <v>5.0945559323395182</v>
      </c>
    </row>
    <row r="23" spans="1:2" ht="16.2">
      <c r="A23" t="s">
        <v>31</v>
      </c>
      <c r="B23">
        <f xml:space="preserve"> B15 *B22</f>
        <v>21.909271180326598</v>
      </c>
    </row>
    <row r="25" spans="1:2">
      <c r="A25" s="3" t="s">
        <v>32</v>
      </c>
    </row>
    <row r="26" spans="1:2" ht="16.2">
      <c r="A26" t="s">
        <v>45</v>
      </c>
      <c r="B26">
        <f>B23</f>
        <v>21.909271180326598</v>
      </c>
    </row>
    <row r="27" spans="1:2">
      <c r="A27" t="s">
        <v>15</v>
      </c>
      <c r="B27">
        <f>B22</f>
        <v>5.0945559323395182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72D4-457A-4FDE-84CB-09DEED70F021}">
  <dimension ref="A1:B27"/>
  <sheetViews>
    <sheetView topLeftCell="A4" zoomScale="94" workbookViewId="0">
      <selection activeCell="B9" sqref="B9"/>
    </sheetView>
  </sheetViews>
  <sheetFormatPr defaultRowHeight="14.4"/>
  <cols>
    <col min="1" max="1" width="57.5546875" customWidth="1"/>
    <col min="2" max="2" width="31" customWidth="1"/>
  </cols>
  <sheetData>
    <row r="1" spans="1:2">
      <c r="A1" s="3" t="s">
        <v>14</v>
      </c>
    </row>
    <row r="2" spans="1:2">
      <c r="A2" s="7" t="s">
        <v>3</v>
      </c>
      <c r="B2" s="7"/>
    </row>
    <row r="3" spans="1:2">
      <c r="A3" s="7" t="s">
        <v>4</v>
      </c>
      <c r="B3" s="7">
        <v>78</v>
      </c>
    </row>
    <row r="4" spans="1:2" ht="15.6">
      <c r="A4" s="7" t="s">
        <v>63</v>
      </c>
      <c r="B4" s="7">
        <v>234</v>
      </c>
    </row>
    <row r="5" spans="1:2">
      <c r="A5" s="7" t="s">
        <v>52</v>
      </c>
      <c r="B5" s="7">
        <v>2.34</v>
      </c>
    </row>
    <row r="6" spans="1:2">
      <c r="A6" s="7" t="s">
        <v>19</v>
      </c>
      <c r="B6" s="7">
        <v>2.34</v>
      </c>
    </row>
    <row r="7" spans="1:2" ht="16.2">
      <c r="A7" s="7" t="s">
        <v>71</v>
      </c>
      <c r="B7" s="7">
        <v>1E-3</v>
      </c>
    </row>
    <row r="8" spans="1:2">
      <c r="A8" s="7" t="s">
        <v>6</v>
      </c>
      <c r="B8" s="7" t="s">
        <v>28</v>
      </c>
    </row>
    <row r="9" spans="1:2">
      <c r="A9" s="7" t="s">
        <v>9</v>
      </c>
      <c r="B9" s="7" t="s">
        <v>28</v>
      </c>
    </row>
    <row r="10" spans="1:2">
      <c r="A10" s="7"/>
      <c r="B10" s="7"/>
    </row>
    <row r="11" spans="1:2">
      <c r="A11" s="7" t="s">
        <v>22</v>
      </c>
      <c r="B11" s="7"/>
    </row>
    <row r="12" spans="1:2" ht="15.6">
      <c r="A12" s="7" t="s">
        <v>61</v>
      </c>
      <c r="B12" s="7">
        <f>B7 * (B4 * (B3^2) / 100)</f>
        <v>14.236559999999999</v>
      </c>
    </row>
    <row r="13" spans="1:2">
      <c r="A13" s="7" t="s">
        <v>62</v>
      </c>
      <c r="B13" s="7">
        <f>B5 * B6</f>
        <v>5.4755999999999991</v>
      </c>
    </row>
    <row r="14" spans="1:2" ht="15.6">
      <c r="A14" s="7" t="s">
        <v>64</v>
      </c>
      <c r="B14" s="7">
        <v>1.5</v>
      </c>
    </row>
    <row r="15" spans="1:2" ht="16.8">
      <c r="A15" s="7" t="s">
        <v>73</v>
      </c>
      <c r="B15" s="7">
        <f xml:space="preserve"> IF(B8 = "Yes", B13 * B16 /2, 0)</f>
        <v>0</v>
      </c>
    </row>
    <row r="16" spans="1:2" ht="15.6">
      <c r="A16" s="7" t="s">
        <v>74</v>
      </c>
      <c r="B16" s="7">
        <f xml:space="preserve"> IF(B8 = "Yes", MIN(B6,B5)/2 * TAN(RADIANS(30)), 0)</f>
        <v>0</v>
      </c>
    </row>
    <row r="17" spans="1:2">
      <c r="A17" s="7" t="s">
        <v>20</v>
      </c>
      <c r="B17" s="7">
        <f xml:space="preserve"> (B12-B15)/ B13</f>
        <v>2.6</v>
      </c>
    </row>
    <row r="18" spans="1:2" ht="15.6">
      <c r="A18" t="s">
        <v>25</v>
      </c>
      <c r="B18" s="7">
        <f>IF(B9="Yes", 0.6, 0)</f>
        <v>0</v>
      </c>
    </row>
    <row r="19" spans="1:2">
      <c r="A19" s="7" t="s">
        <v>43</v>
      </c>
      <c r="B19" s="7">
        <f>B17 + B14 + B18+B16</f>
        <v>4.0999999999999996</v>
      </c>
    </row>
    <row r="20" spans="1:2">
      <c r="A20" s="7" t="s">
        <v>65</v>
      </c>
      <c r="B20" s="7">
        <f>B19 * B13</f>
        <v>22.449959999999994</v>
      </c>
    </row>
    <row r="21" spans="1:2">
      <c r="A21" s="7" t="s">
        <v>75</v>
      </c>
      <c r="B21" s="7">
        <f>MAX(B5,B6) / (B14 + B17 + B16)</f>
        <v>0.57073170731707323</v>
      </c>
    </row>
    <row r="22" spans="1:2">
      <c r="A22" s="7"/>
      <c r="B22" s="7"/>
    </row>
    <row r="23" spans="1:2">
      <c r="A23" s="7" t="s">
        <v>32</v>
      </c>
      <c r="B23" s="7"/>
    </row>
    <row r="24" spans="1:2">
      <c r="A24" s="7" t="s">
        <v>33</v>
      </c>
      <c r="B24" s="7">
        <f>B20</f>
        <v>22.449959999999994</v>
      </c>
    </row>
    <row r="25" spans="1:2">
      <c r="A25" s="7" t="s">
        <v>15</v>
      </c>
      <c r="B25" s="7">
        <f>B19</f>
        <v>4.0999999999999996</v>
      </c>
    </row>
    <row r="26" spans="1:2" ht="16.2" customHeight="1">
      <c r="A26" s="7" t="s">
        <v>34</v>
      </c>
      <c r="B26" s="7" t="str">
        <f>IF(B21 &lt; 0.8, "Acceptable", "FAIL : Locker width exceeds criterion. Risk of anchor chain cluster spills.")</f>
        <v>Acceptable</v>
      </c>
    </row>
    <row r="27" spans="1:2">
      <c r="A27" s="6"/>
      <c r="B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35B-85EA-4673-BC50-67D30CB92E1D}">
  <dimension ref="A1:F24"/>
  <sheetViews>
    <sheetView tabSelected="1" workbookViewId="0">
      <selection activeCell="B9" sqref="B9"/>
    </sheetView>
  </sheetViews>
  <sheetFormatPr defaultRowHeight="14.4"/>
  <cols>
    <col min="1" max="1" width="42.77734375" customWidth="1"/>
    <col min="2" max="2" width="35.5546875" customWidth="1"/>
    <col min="5" max="5" width="21.6640625" customWidth="1"/>
    <col min="6" max="6" width="21.88671875" customWidth="1"/>
  </cols>
  <sheetData>
    <row r="1" spans="1:6">
      <c r="A1" s="3" t="s">
        <v>14</v>
      </c>
      <c r="E1" s="8" t="s">
        <v>46</v>
      </c>
      <c r="F1" s="8"/>
    </row>
    <row r="2" spans="1:6">
      <c r="A2" t="s">
        <v>4</v>
      </c>
      <c r="B2">
        <v>78</v>
      </c>
      <c r="E2" t="s">
        <v>47</v>
      </c>
      <c r="F2" t="s">
        <v>48</v>
      </c>
    </row>
    <row r="3" spans="1:6">
      <c r="A3" t="s">
        <v>0</v>
      </c>
      <c r="B3">
        <v>234</v>
      </c>
      <c r="E3">
        <v>64</v>
      </c>
      <c r="F3">
        <v>4.5</v>
      </c>
    </row>
    <row r="4" spans="1:6">
      <c r="A4" t="s">
        <v>50</v>
      </c>
      <c r="B4" t="s">
        <v>51</v>
      </c>
      <c r="E4">
        <v>76</v>
      </c>
      <c r="F4">
        <v>7</v>
      </c>
    </row>
    <row r="5" spans="1:6">
      <c r="A5" t="s">
        <v>5</v>
      </c>
      <c r="B5">
        <v>2.34</v>
      </c>
      <c r="E5">
        <v>92</v>
      </c>
      <c r="F5">
        <v>9.5</v>
      </c>
    </row>
    <row r="6" spans="1:6">
      <c r="A6" t="s">
        <v>52</v>
      </c>
      <c r="B6">
        <v>3</v>
      </c>
      <c r="E6">
        <v>102</v>
      </c>
      <c r="F6">
        <v>11.8</v>
      </c>
    </row>
    <row r="7" spans="1:6">
      <c r="A7" t="s">
        <v>53</v>
      </c>
      <c r="B7">
        <v>1</v>
      </c>
      <c r="E7">
        <v>111</v>
      </c>
      <c r="F7">
        <v>14</v>
      </c>
    </row>
    <row r="8" spans="1:6">
      <c r="A8" t="s">
        <v>6</v>
      </c>
      <c r="B8" t="s">
        <v>76</v>
      </c>
    </row>
    <row r="9" spans="1:6">
      <c r="A9" t="s">
        <v>9</v>
      </c>
      <c r="B9" t="s">
        <v>76</v>
      </c>
    </row>
    <row r="11" spans="1:6">
      <c r="A11" s="3" t="s">
        <v>22</v>
      </c>
    </row>
    <row r="12" spans="1:6" ht="16.2">
      <c r="A12" t="s">
        <v>49</v>
      </c>
      <c r="B12" cm="1">
        <f t="array" aca="1" ref="B12" ca="1">TREND(OFFSET(AH_Leng!$F$3,MATCH($B$2,AH_Leng!$E$3:$E$7,1)-1,0,2),OFFSET(AH_Leng!$E$3,MATCH($B$2,AH_Leng!$E$3:$E$7)-1,0,2),$B$2)</f>
        <v>7.3125</v>
      </c>
    </row>
    <row r="13" spans="1:6" ht="16.8">
      <c r="A13" t="s">
        <v>69</v>
      </c>
      <c r="B13">
        <f ca="1" xml:space="preserve"> B12 * B3/100</f>
        <v>17.111249999999998</v>
      </c>
    </row>
    <row r="14" spans="1:6" ht="16.2">
      <c r="A14" t="s">
        <v>54</v>
      </c>
      <c r="B14">
        <f>IF(B4 = "Circle", PI() * (B5/2)^2, B7*B6)</f>
        <v>4.3005261834990671</v>
      </c>
    </row>
    <row r="15" spans="1:6" ht="16.8">
      <c r="A15" t="s">
        <v>39</v>
      </c>
      <c r="B15">
        <f>IF(B4 = "Circle", B14 * B16/3, B14 * B16 /2)</f>
        <v>0.96833488038308591</v>
      </c>
    </row>
    <row r="16" spans="1:6" ht="15.6">
      <c r="A16" t="s">
        <v>55</v>
      </c>
      <c r="B16">
        <f>IF(B4 = "Circle", B5/2 * TAN(RADIANS(30)), MIN(B6,B7)/2 * TAN(RADIANS(30)))</f>
        <v>0.67549981495186207</v>
      </c>
    </row>
    <row r="17" spans="1:2">
      <c r="A17" t="s">
        <v>56</v>
      </c>
      <c r="B17">
        <f ca="1" xml:space="preserve"> (B13 - B15)/B14</f>
        <v>3.7537069723134295</v>
      </c>
    </row>
    <row r="18" spans="1:2" ht="15.6">
      <c r="A18" t="s">
        <v>25</v>
      </c>
      <c r="B18" s="5">
        <f xml:space="preserve"> IF(B9 = "Yes", 0.6, 0)</f>
        <v>0</v>
      </c>
    </row>
    <row r="19" spans="1:2">
      <c r="A19" t="s">
        <v>57</v>
      </c>
      <c r="B19">
        <f ca="1">B17 + B16 +B18</f>
        <v>4.4292067872652918</v>
      </c>
    </row>
    <row r="20" spans="1:2" ht="16.2">
      <c r="A20" t="s">
        <v>60</v>
      </c>
      <c r="B20">
        <f ca="1" xml:space="preserve"> B19 * B14</f>
        <v>19.04791976076617</v>
      </c>
    </row>
    <row r="22" spans="1:2">
      <c r="A22" s="3" t="s">
        <v>58</v>
      </c>
    </row>
    <row r="23" spans="1:2">
      <c r="A23" t="s">
        <v>59</v>
      </c>
      <c r="B23">
        <f ca="1">B20</f>
        <v>19.04791976076617</v>
      </c>
    </row>
    <row r="24" spans="1:2">
      <c r="A24" t="s">
        <v>15</v>
      </c>
      <c r="B24">
        <f ca="1">B19</f>
        <v>4.4292067872652918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86C-5F04-456B-9AC4-939E298BB548}">
  <dimension ref="A1:F26"/>
  <sheetViews>
    <sheetView topLeftCell="A4" workbookViewId="0">
      <selection activeCell="F3" sqref="F3"/>
    </sheetView>
  </sheetViews>
  <sheetFormatPr defaultRowHeight="14.4"/>
  <cols>
    <col min="1" max="1" width="41.6640625" customWidth="1"/>
    <col min="2" max="2" width="17.77734375" customWidth="1"/>
    <col min="5" max="6" width="24.33203125" customWidth="1"/>
    <col min="7" max="7" width="22.77734375" customWidth="1"/>
    <col min="14" max="14" width="25" customWidth="1"/>
  </cols>
  <sheetData>
    <row r="1" spans="1:6">
      <c r="A1" s="3" t="s">
        <v>14</v>
      </c>
      <c r="E1" s="8" t="s">
        <v>46</v>
      </c>
      <c r="F1" s="8"/>
    </row>
    <row r="2" spans="1:6">
      <c r="A2" t="s">
        <v>4</v>
      </c>
      <c r="B2">
        <v>78</v>
      </c>
      <c r="E2" t="s">
        <v>47</v>
      </c>
      <c r="F2" t="s">
        <v>66</v>
      </c>
    </row>
    <row r="3" spans="1:6">
      <c r="A3" t="s">
        <v>0</v>
      </c>
      <c r="B3">
        <v>234</v>
      </c>
      <c r="E3">
        <v>64</v>
      </c>
      <c r="F3">
        <v>9190</v>
      </c>
    </row>
    <row r="4" spans="1:6">
      <c r="A4" t="s">
        <v>68</v>
      </c>
      <c r="B4">
        <v>0.6</v>
      </c>
      <c r="E4">
        <v>76</v>
      </c>
      <c r="F4">
        <v>12837</v>
      </c>
    </row>
    <row r="5" spans="1:6">
      <c r="A5" t="s">
        <v>50</v>
      </c>
      <c r="B5" t="s">
        <v>51</v>
      </c>
      <c r="E5">
        <v>92</v>
      </c>
      <c r="F5">
        <v>19040</v>
      </c>
    </row>
    <row r="6" spans="1:6">
      <c r="A6" t="s">
        <v>5</v>
      </c>
      <c r="B6">
        <v>2.34</v>
      </c>
      <c r="E6">
        <v>102</v>
      </c>
      <c r="F6">
        <v>23260</v>
      </c>
    </row>
    <row r="7" spans="1:6">
      <c r="A7" t="s">
        <v>52</v>
      </c>
      <c r="B7">
        <v>3</v>
      </c>
      <c r="E7">
        <v>111</v>
      </c>
      <c r="F7">
        <v>27420</v>
      </c>
    </row>
    <row r="8" spans="1:6">
      <c r="A8" t="s">
        <v>53</v>
      </c>
      <c r="B8">
        <v>1</v>
      </c>
    </row>
    <row r="9" spans="1:6">
      <c r="A9" t="s">
        <v>6</v>
      </c>
      <c r="B9" t="s">
        <v>76</v>
      </c>
    </row>
    <row r="10" spans="1:6">
      <c r="A10" t="s">
        <v>9</v>
      </c>
      <c r="B10" t="s">
        <v>76</v>
      </c>
    </row>
    <row r="12" spans="1:6">
      <c r="A12" s="3" t="s">
        <v>22</v>
      </c>
    </row>
    <row r="13" spans="1:6">
      <c r="A13" t="s">
        <v>66</v>
      </c>
      <c r="B13" cm="1">
        <f t="array" aca="1" ref="B13" ca="1">TREND(OFFSET(AH_Wt!$F$3,MATCH($B$2,AH_Wt!$E$3:$E$7,1)-1,0,2),OFFSET(AH_Wt!$E$3,MATCH($B$2,AH_Wt!$E$3:$E$7)-1,0,2),$B$2)</f>
        <v>13612.375</v>
      </c>
    </row>
    <row r="14" spans="1:6" ht="15.6">
      <c r="A14" t="s">
        <v>67</v>
      </c>
      <c r="B14">
        <f ca="1" xml:space="preserve"> B13 * B3/100</f>
        <v>31852.9575</v>
      </c>
    </row>
    <row r="15" spans="1:6" ht="16.8">
      <c r="A15" t="s">
        <v>70</v>
      </c>
      <c r="B15">
        <f ca="1" xml:space="preserve"> B4 * B14/1000</f>
        <v>19.111774499999999</v>
      </c>
    </row>
    <row r="16" spans="1:6" ht="16.2">
      <c r="A16" t="s">
        <v>54</v>
      </c>
      <c r="B16">
        <f>IF(B5 = "Circle", PI() * (B6/2)^2, B8*B7)</f>
        <v>4.3005261834990671</v>
      </c>
    </row>
    <row r="17" spans="1:2" ht="16.8">
      <c r="A17" t="s">
        <v>39</v>
      </c>
      <c r="B17">
        <f>IF(B5 = "Circle", B16 * B18/3, B16 * B18 /2)</f>
        <v>0.96833488038308591</v>
      </c>
    </row>
    <row r="18" spans="1:2" ht="15.6">
      <c r="A18" t="s">
        <v>55</v>
      </c>
      <c r="B18">
        <f>IF(B5 = "Circle", B6/2 * TAN(RADIANS(30)), MIN(B7,B8)/2 * TAN(RADIANS(30)))</f>
        <v>0.67549981495186207</v>
      </c>
    </row>
    <row r="19" spans="1:2">
      <c r="A19" t="s">
        <v>56</v>
      </c>
      <c r="B19">
        <f ca="1" xml:space="preserve"> (B15 - B17)/B16</f>
        <v>4.2188883046992034</v>
      </c>
    </row>
    <row r="20" spans="1:2" ht="15.6">
      <c r="A20" t="s">
        <v>25</v>
      </c>
      <c r="B20" s="5">
        <f xml:space="preserve"> IF(B10 = "Yes", 0.6, 0)</f>
        <v>0</v>
      </c>
    </row>
    <row r="21" spans="1:2">
      <c r="A21" t="s">
        <v>57</v>
      </c>
      <c r="B21">
        <f ca="1">B19 + B18 +B20</f>
        <v>4.8943881196510652</v>
      </c>
    </row>
    <row r="22" spans="1:2" ht="16.2">
      <c r="A22" t="s">
        <v>60</v>
      </c>
      <c r="B22">
        <f ca="1" xml:space="preserve"> B21 * B16</f>
        <v>21.048444260766171</v>
      </c>
    </row>
    <row r="24" spans="1:2">
      <c r="A24" s="3" t="s">
        <v>58</v>
      </c>
    </row>
    <row r="25" spans="1:2">
      <c r="A25" t="s">
        <v>59</v>
      </c>
      <c r="B25">
        <f ca="1">B22</f>
        <v>21.048444260766171</v>
      </c>
    </row>
    <row r="26" spans="1:2">
      <c r="A26" t="s">
        <v>15</v>
      </c>
      <c r="B26">
        <f ca="1">B21</f>
        <v>4.8943881196510652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IHC_Calc</vt:lpstr>
      <vt:lpstr>IHC_Data</vt:lpstr>
      <vt:lpstr>COSCO_Round</vt:lpstr>
      <vt:lpstr>COSCO_Rect</vt:lpstr>
      <vt:lpstr>AH_Leng</vt:lpstr>
      <vt:lpstr>AH_Wt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Narayan Vinu</dc:creator>
  <cp:lastModifiedBy>Dev Narayan Vinu</cp:lastModifiedBy>
  <dcterms:created xsi:type="dcterms:W3CDTF">2015-06-05T18:17:20Z</dcterms:created>
  <dcterms:modified xsi:type="dcterms:W3CDTF">2026-05-25T05:13:54Z</dcterms:modified>
</cp:coreProperties>
</file>